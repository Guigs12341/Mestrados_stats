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iga\Desktop\Stuff\"/>
    </mc:Choice>
  </mc:AlternateContent>
  <xr:revisionPtr revIDLastSave="0" documentId="13_ncr:1_{9DA5C9E3-1923-467D-8126-F2EB08EF5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s" sheetId="1" r:id="rId1"/>
    <sheet name="Alameda" sheetId="2" r:id="rId2"/>
    <sheet name="Tag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 s="1"/>
  <c r="D12" i="1"/>
  <c r="H10" i="1"/>
  <c r="D10" i="1"/>
  <c r="H9" i="1"/>
  <c r="D9" i="1"/>
  <c r="H7" i="1"/>
  <c r="D7" i="1"/>
  <c r="H6" i="1"/>
  <c r="D6" i="1"/>
  <c r="H5" i="1"/>
  <c r="D5" i="1"/>
  <c r="H4" i="1"/>
  <c r="D4" i="1"/>
  <c r="D13" i="1" l="1"/>
</calcChain>
</file>

<file path=xl/sharedStrings.xml><?xml version="1.0" encoding="utf-8"?>
<sst xmlns="http://schemas.openxmlformats.org/spreadsheetml/2006/main" count="20" uniqueCount="12">
  <si>
    <t>Nome</t>
  </si>
  <si>
    <t>MEU_NOME</t>
  </si>
  <si>
    <t>Alameda</t>
  </si>
  <si>
    <t>n_candidatos</t>
  </si>
  <si>
    <t>Tagus</t>
  </si>
  <si>
    <t>n_pre_colocados</t>
  </si>
  <si>
    <t>n_nao_colocados</t>
  </si>
  <si>
    <t>n_abdicou</t>
  </si>
  <si>
    <t>primeiro_colocado</t>
  </si>
  <si>
    <t>ultimo_colocado</t>
  </si>
  <si>
    <t>minha_posicao</t>
  </si>
  <si>
    <t>qts_pessoas_tem_de_sair_para_eu_entrar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</si>
</sst>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tabSelected="1" workbookViewId="0">
      <selection activeCell="C3" sqref="C3"/>
    </sheetView>
  </sheetViews>
  <sheetFormatPr defaultRowHeight="14.5" x14ac:dyDescent="0.35"/>
  <cols>
    <col min="3" max="3" width="37" bestFit="1" customWidth="1"/>
    <col min="7" max="7" width="37" bestFit="1" customWidth="1"/>
  </cols>
  <sheetData>
    <row r="2" spans="2:8" x14ac:dyDescent="0.35">
      <c r="B2" t="s">
        <v>0</v>
      </c>
      <c r="C2" t="s">
        <v>1</v>
      </c>
    </row>
    <row r="4" spans="2:8" x14ac:dyDescent="0.35">
      <c r="B4" s="1" t="s">
        <v>2</v>
      </c>
      <c r="C4" t="s">
        <v>3</v>
      </c>
      <c r="D4">
        <f>COUNTA(Alameda!A:A)-1</f>
        <v>-1</v>
      </c>
      <c r="F4" s="1" t="s">
        <v>4</v>
      </c>
      <c r="G4" t="s">
        <v>3</v>
      </c>
      <c r="H4">
        <f>COUNTA(Tagus!A:A)-1</f>
        <v>-1</v>
      </c>
    </row>
    <row r="5" spans="2:8" x14ac:dyDescent="0.35">
      <c r="B5" s="2"/>
      <c r="C5" t="s">
        <v>5</v>
      </c>
      <c r="D5">
        <f>COUNTIF(Alameda!B:B, "Pré-Colocado")</f>
        <v>0</v>
      </c>
      <c r="F5" s="2"/>
      <c r="G5" t="s">
        <v>5</v>
      </c>
      <c r="H5">
        <f>COUNTIF(Tagus!B:B, "Pré-Colocado")</f>
        <v>0</v>
      </c>
    </row>
    <row r="6" spans="2:8" x14ac:dyDescent="0.35">
      <c r="B6" s="2"/>
      <c r="C6" t="s">
        <v>6</v>
      </c>
      <c r="D6">
        <f>COUNTIF(Alameda!B:B, "Não colocado")</f>
        <v>0</v>
      </c>
      <c r="F6" s="2"/>
      <c r="G6" t="s">
        <v>6</v>
      </c>
      <c r="H6">
        <f>COUNTIF(Tagus!B:B, "Não colocado")</f>
        <v>0</v>
      </c>
    </row>
    <row r="7" spans="2:8" x14ac:dyDescent="0.35">
      <c r="B7" s="2"/>
      <c r="C7" t="s">
        <v>7</v>
      </c>
      <c r="D7">
        <f>COUNTIF(Alameda!B:B, "Abdicou")</f>
        <v>0</v>
      </c>
      <c r="F7" s="2"/>
      <c r="G7" t="s">
        <v>7</v>
      </c>
      <c r="H7">
        <f>COUNTIF(Tagus!B:B, "Abdicou")</f>
        <v>0</v>
      </c>
    </row>
    <row r="8" spans="2:8" x14ac:dyDescent="0.35">
      <c r="B8" s="2"/>
      <c r="F8" s="2"/>
    </row>
    <row r="9" spans="2:8" x14ac:dyDescent="0.35">
      <c r="B9" s="2"/>
      <c r="C9" t="s">
        <v>8</v>
      </c>
      <c r="D9">
        <f>_xlfn.MAXIFS(Alameda!C:C, Alameda!B:B, "Pré-Colocado")</f>
        <v>0</v>
      </c>
      <c r="F9" s="2"/>
      <c r="G9" t="s">
        <v>8</v>
      </c>
      <c r="H9">
        <f>_xlfn.MAXIFS(Tagus!C:C, Tagus!B:B, "Pré-Colocado")</f>
        <v>0</v>
      </c>
    </row>
    <row r="10" spans="2:8" x14ac:dyDescent="0.35">
      <c r="B10" s="2"/>
      <c r="C10" t="s">
        <v>9</v>
      </c>
      <c r="D10">
        <f>_xlfn.MINIFS(Alameda!C:C, Alameda!B:B, "Pré-Colocado")</f>
        <v>0</v>
      </c>
      <c r="F10" s="2"/>
      <c r="G10" t="s">
        <v>9</v>
      </c>
      <c r="H10">
        <f>_xlfn.MINIFS(Tagus!C:C, Tagus!B:B, "Pré-Colocado")</f>
        <v>0</v>
      </c>
    </row>
    <row r="11" spans="2:8" x14ac:dyDescent="0.35">
      <c r="B11" s="2"/>
      <c r="F11" s="2"/>
    </row>
    <row r="12" spans="2:8" x14ac:dyDescent="0.35">
      <c r="B12" s="2"/>
      <c r="C12" t="s">
        <v>10</v>
      </c>
      <c r="D12" t="e">
        <f>MATCH(C2, Alameda!A:A, 0) - 1</f>
        <v>#N/A</v>
      </c>
      <c r="F12" s="2"/>
      <c r="G12" t="s">
        <v>10</v>
      </c>
      <c r="H12" t="e">
        <f>MATCH(C2, Tagus!A:A, 0) - 1</f>
        <v>#N/A</v>
      </c>
    </row>
    <row r="13" spans="2:8" x14ac:dyDescent="0.35">
      <c r="B13" s="2"/>
      <c r="C13" t="s">
        <v>11</v>
      </c>
      <c r="D13" t="e">
        <f>D12-D5-D7</f>
        <v>#N/A</v>
      </c>
      <c r="F13" s="2"/>
      <c r="G13" t="s">
        <v>11</v>
      </c>
      <c r="H13" t="e">
        <f>H12-H5-H7</f>
        <v>#N/A</v>
      </c>
    </row>
  </sheetData>
  <mergeCells count="2">
    <mergeCell ref="F4:F13"/>
    <mergeCell ref="B4:B13"/>
  </mergeCells>
  <conditionalFormatting sqref="D4 H4">
    <cfRule type="expression" dxfId="0" priority="1">
      <formula>D4&lt;&gt;SUM(D$5:D$7)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P390"/>
    </sheetView>
  </sheetViews>
  <sheetFormatPr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1" sqref="I11"/>
    </sheetView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Alameda</vt:lpstr>
      <vt:lpstr>Tagus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margarida lopes</cp:lastModifiedBy>
  <dcterms:created xsi:type="dcterms:W3CDTF">2026-05-01T14:03:52Z</dcterms:created>
  <dcterms:modified xsi:type="dcterms:W3CDTF">2026-05-01T17:58:25Z</dcterms:modified>
</cp:coreProperties>
</file>